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riang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Merz-Wuthrich one-year reserve risk - VBA demo</t>
        </is>
      </c>
    </row>
    <row r="2">
      <c r="A2" t="inlineStr"/>
    </row>
    <row r="3">
      <c r="A3" t="inlineStr">
        <is>
          <t>This workbook ships the analytic Merz-Wuthrich (2008) one-year CDR as VBA.</t>
        </is>
      </c>
    </row>
    <row r="4">
      <c r="A4" s="1" t="inlineStr">
        <is>
          <t>To enable it (one-time, ~30 seconds):</t>
        </is>
      </c>
    </row>
    <row r="5">
      <c r="A5" t="inlineStr">
        <is>
          <t xml:space="preserve">  1. Press Alt+F11 to open the VBA editor.</t>
        </is>
      </c>
    </row>
    <row r="6">
      <c r="A6" t="inlineStr">
        <is>
          <t xml:space="preserve">  2. File &gt; Import File... and choose MerzWuthrich.bas.</t>
        </is>
      </c>
    </row>
    <row r="7">
      <c r="A7" t="inlineStr">
        <is>
          <t xml:space="preserve">  3. Close the editor. File &gt; Save As &gt; Excel Macro-Enabled Workbook (*.xlsm).</t>
        </is>
      </c>
    </row>
    <row r="8">
      <c r="A8" t="inlineStr">
        <is>
          <t xml:space="preserve">  4. Run the macro MW_SelfTest (Alt+F8) - it should say PASS.</t>
        </is>
      </c>
    </row>
    <row r="9">
      <c r="A9" t="inlineStr"/>
    </row>
    <row r="10">
      <c r="A10" s="1" t="inlineStr">
        <is>
          <t>Cell functions (UDFs) - point them at the VALUE BLOCK only (no labels):</t>
        </is>
      </c>
    </row>
    <row r="11">
      <c r="A11" t="inlineStr">
        <is>
          <t xml:space="preserve">  =MW_EmergenceFactor(Triangle!C3:L12)</t>
        </is>
      </c>
    </row>
    <row r="12">
      <c r="A12" t="inlineStr">
        <is>
          <t xml:space="preserve">  =MW_OneYearSE(Triangle!C3:L12)</t>
        </is>
      </c>
    </row>
    <row r="13">
      <c r="A13" t="inlineStr">
        <is>
          <t xml:space="preserve">  =MW_UltimateSE(Triangle!C3:L12)</t>
        </is>
      </c>
    </row>
    <row r="14">
      <c r="A14" t="inlineStr">
        <is>
          <t xml:space="preserve">  =MW_TotalReserve(Triangle!C3:L12)</t>
        </is>
      </c>
    </row>
    <row r="15">
      <c r="A15" t="inlineStr">
        <is>
          <t xml:space="preserve">  Optional args: sigmaMethod ("loglinear" default | "mack"), isCumulative (False default).</t>
        </is>
      </c>
    </row>
    <row r="16">
      <c r="A16" t="inlineStr"/>
    </row>
    <row r="17">
      <c r="A17" s="1" t="inlineStr">
        <is>
          <t>Macros (Alt+F8):</t>
        </is>
      </c>
    </row>
    <row r="18">
      <c r="A18" t="inlineStr">
        <is>
          <t xml:space="preserve">  MW_Report      - per-AY table + totals + emergence pattern (to a new sheet).</t>
        </is>
      </c>
    </row>
    <row r="19">
      <c r="A19" t="inlineStr">
        <is>
          <t xml:space="preserve">  MW_Sensitivity - leave-one-out: which cells/outliers move the one-year risk.</t>
        </is>
      </c>
    </row>
    <row r="20">
      <c r="A20" t="inlineStr">
        <is>
          <t xml:space="preserve">  MW_SelfTest    - validates against the GenIns reference numbers.</t>
        </is>
      </c>
    </row>
    <row r="21">
      <c r="A21" t="inlineStr"/>
    </row>
    <row r="22">
      <c r="A22" s="1" t="inlineStr">
        <is>
          <t>Expected result for the GenIns triangle on the 'Triangle' sheet:</t>
        </is>
      </c>
    </row>
    <row r="23">
      <c r="A23" t="inlineStr">
        <is>
          <t xml:space="preserve">  Emergence factor = 72.7%   One-year SE = 1,774,014   Ultimate SE = 2,441,364</t>
        </is>
      </c>
    </row>
    <row r="24">
      <c r="A24" t="inlineStr"/>
    </row>
    <row r="25">
      <c r="A25" t="inlineStr">
        <is>
          <t>Input rules: a SQUARE block of incremental claims, unobserved lower-right left blank.</t>
        </is>
      </c>
    </row>
    <row r="26">
      <c r="A26" t="inlineStr">
        <is>
          <t>Set isCumulative:=True if your block holds cumulative figures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8" customWidth="1" min="2" max="2"/>
  </cols>
  <sheetData>
    <row r="1">
      <c r="A1" s="1" t="inlineStr">
        <is>
          <t>GenIns (Taylor-Ashe) incremental claims - value block is C3:L12</t>
        </is>
      </c>
    </row>
    <row r="2">
      <c r="B2" s="1" t="inlineStr">
        <is>
          <t>AY \ DY</t>
        </is>
      </c>
      <c r="C2" s="1" t="n">
        <v>1</v>
      </c>
      <c r="D2" s="1" t="n">
        <v>2</v>
      </c>
      <c r="E2" s="1" t="n">
        <v>3</v>
      </c>
      <c r="F2" s="1" t="n">
        <v>4</v>
      </c>
      <c r="G2" s="1" t="n">
        <v>5</v>
      </c>
      <c r="H2" s="1" t="n">
        <v>6</v>
      </c>
      <c r="I2" s="1" t="n">
        <v>7</v>
      </c>
      <c r="J2" s="1" t="n">
        <v>8</v>
      </c>
      <c r="K2" s="1" t="n">
        <v>9</v>
      </c>
      <c r="L2" s="1" t="n">
        <v>10</v>
      </c>
    </row>
    <row r="3">
      <c r="B3" s="1" t="n">
        <v>1</v>
      </c>
      <c r="C3" t="n">
        <v>357848</v>
      </c>
      <c r="D3" t="n">
        <v>766940</v>
      </c>
      <c r="E3" t="n">
        <v>610542</v>
      </c>
      <c r="F3" t="n">
        <v>482940</v>
      </c>
      <c r="G3" t="n">
        <v>527326</v>
      </c>
      <c r="H3" t="n">
        <v>574398</v>
      </c>
      <c r="I3" t="n">
        <v>146342</v>
      </c>
      <c r="J3" t="n">
        <v>139950</v>
      </c>
      <c r="K3" t="n">
        <v>227229</v>
      </c>
      <c r="L3" t="n">
        <v>67948</v>
      </c>
    </row>
    <row r="4">
      <c r="B4" s="1" t="n">
        <v>2</v>
      </c>
      <c r="C4" t="n">
        <v>352118</v>
      </c>
      <c r="D4" t="n">
        <v>884021</v>
      </c>
      <c r="E4" t="n">
        <v>933894</v>
      </c>
      <c r="F4" t="n">
        <v>1183289</v>
      </c>
      <c r="G4" t="n">
        <v>445745</v>
      </c>
      <c r="H4" t="n">
        <v>320996</v>
      </c>
      <c r="I4" t="n">
        <v>527804</v>
      </c>
      <c r="J4" t="n">
        <v>266172</v>
      </c>
      <c r="K4" t="n">
        <v>425046</v>
      </c>
    </row>
    <row r="5">
      <c r="B5" s="1" t="n">
        <v>3</v>
      </c>
      <c r="C5" t="n">
        <v>290507</v>
      </c>
      <c r="D5" t="n">
        <v>1001799</v>
      </c>
      <c r="E5" t="n">
        <v>926219</v>
      </c>
      <c r="F5" t="n">
        <v>1016654</v>
      </c>
      <c r="G5" t="n">
        <v>750816</v>
      </c>
      <c r="H5" t="n">
        <v>146923</v>
      </c>
      <c r="I5" t="n">
        <v>495992</v>
      </c>
      <c r="J5" t="n">
        <v>280405</v>
      </c>
    </row>
    <row r="6">
      <c r="B6" s="1" t="n">
        <v>4</v>
      </c>
      <c r="C6" t="n">
        <v>310608</v>
      </c>
      <c r="D6" t="n">
        <v>1108250</v>
      </c>
      <c r="E6" t="n">
        <v>776189</v>
      </c>
      <c r="F6" t="n">
        <v>1562400</v>
      </c>
      <c r="G6" t="n">
        <v>272482</v>
      </c>
      <c r="H6" t="n">
        <v>352053</v>
      </c>
      <c r="I6" t="n">
        <v>206286</v>
      </c>
    </row>
    <row r="7">
      <c r="B7" s="1" t="n">
        <v>5</v>
      </c>
      <c r="C7" t="n">
        <v>443160</v>
      </c>
      <c r="D7" t="n">
        <v>693190</v>
      </c>
      <c r="E7" t="n">
        <v>991983</v>
      </c>
      <c r="F7" t="n">
        <v>769488</v>
      </c>
      <c r="G7" t="n">
        <v>504851</v>
      </c>
      <c r="H7" t="n">
        <v>470639</v>
      </c>
    </row>
    <row r="8">
      <c r="B8" s="1" t="n">
        <v>6</v>
      </c>
      <c r="C8" t="n">
        <v>396132</v>
      </c>
      <c r="D8" t="n">
        <v>937085</v>
      </c>
      <c r="E8" t="n">
        <v>847498</v>
      </c>
      <c r="F8" t="n">
        <v>805037</v>
      </c>
      <c r="G8" t="n">
        <v>705960</v>
      </c>
    </row>
    <row r="9">
      <c r="B9" s="1" t="n">
        <v>7</v>
      </c>
      <c r="C9" t="n">
        <v>440832</v>
      </c>
      <c r="D9" t="n">
        <v>847631</v>
      </c>
      <c r="E9" t="n">
        <v>1131398</v>
      </c>
      <c r="F9" t="n">
        <v>1063269</v>
      </c>
    </row>
    <row r="10">
      <c r="B10" s="1" t="n">
        <v>8</v>
      </c>
      <c r="C10" t="n">
        <v>359480</v>
      </c>
      <c r="D10" t="n">
        <v>1061648</v>
      </c>
      <c r="E10" t="n">
        <v>1443370</v>
      </c>
    </row>
    <row r="11">
      <c r="B11" s="1" t="n">
        <v>9</v>
      </c>
      <c r="C11" t="n">
        <v>376686</v>
      </c>
      <c r="D11" t="n">
        <v>986608</v>
      </c>
    </row>
    <row r="12">
      <c r="B12" s="1" t="n">
        <v>10</v>
      </c>
      <c r="C12" t="n">
        <v>344014</v>
      </c>
    </row>
    <row r="15">
      <c r="B15" s="1" t="inlineStr">
        <is>
          <t>Examples (work after importing the module):</t>
        </is>
      </c>
    </row>
    <row r="16">
      <c r="B16" t="inlineStr">
        <is>
          <t>Emergence factor</t>
        </is>
      </c>
      <c r="D16">
        <f>MW_EmergenceFactor(C3:L12)</f>
        <v/>
      </c>
    </row>
    <row r="17">
      <c r="B17" t="inlineStr">
        <is>
          <t>One-year SE</t>
        </is>
      </c>
      <c r="D17">
        <f>MW_OneYearSE(C3:L12)</f>
        <v/>
      </c>
    </row>
    <row r="18">
      <c r="B18" t="inlineStr">
        <is>
          <t>Ultimate SE</t>
        </is>
      </c>
      <c r="D18">
        <f>MW_UltimateSE(C3:L12)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2026-06-27T17:33:57Z</dcterms:created>
  <dcterms:modified xmlns:dcterms="http://purl.org/dc/terms/" xmlns:xsi="http://www.w3.org/2001/XMLSchema-instance" xsi:type="dcterms:W3CDTF">2026-06-27T17:33:57Z</dcterms:modified>
</cp:coreProperties>
</file>